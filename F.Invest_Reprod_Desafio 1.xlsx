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ntander Excel com IA\Bloco 1\1ºDesafio - Criando uma Ferramenta de Investimento com Excel\"/>
    </mc:Choice>
  </mc:AlternateContent>
  <xr:revisionPtr revIDLastSave="0" documentId="13_ncr:1_{F7D601E1-7A01-443C-B6E1-3DDDA5EAF7EE}" xr6:coauthVersionLast="47" xr6:coauthVersionMax="47" xr10:uidLastSave="{00000000-0000-0000-0000-000000000000}"/>
  <bookViews>
    <workbookView xWindow="-108" yWindow="-108" windowWidth="23256" windowHeight="12456" tabRatio="255" xr2:uid="{62CB7B97-FB5A-4891-B804-03EF2B8E85E4}"/>
  </bookViews>
  <sheets>
    <sheet name="Controle" sheetId="1" r:id="rId1"/>
    <sheet name="Planilha2" sheetId="2" state="hidden" r:id="rId2"/>
  </sheets>
  <definedNames>
    <definedName name="aporte">Controle!$D$13</definedName>
    <definedName name="patrimonio">Controle!$D$16</definedName>
    <definedName name="qtd_anos">Controle!$D$14</definedName>
    <definedName name="Rendimento_Carteira">Controle!$D$9</definedName>
    <definedName name="salario">Controle!$D$8</definedName>
    <definedName name="sugestao_investimento">Controle!$D$10</definedName>
    <definedName name="taxa_mensal">Controle!$D$15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" i="1" l="1"/>
  <c r="D17" i="1" s="1"/>
  <c r="D10" i="1"/>
  <c r="C22" i="1"/>
  <c r="D22" i="1" s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I8" i="1"/>
  <c r="C23" i="1"/>
  <c r="D23" i="1" s="1"/>
  <c r="C24" i="1"/>
  <c r="D24" i="1" s="1"/>
  <c r="C25" i="1"/>
  <c r="D25" i="1" s="1"/>
  <c r="C21" i="1"/>
  <c r="D21" i="1" s="1"/>
  <c r="I15" i="1" l="1"/>
  <c r="J15" i="1" s="1"/>
  <c r="I16" i="1"/>
  <c r="J16" i="1" s="1"/>
  <c r="I11" i="1"/>
  <c r="J11" i="1" s="1"/>
  <c r="H4" i="2"/>
  <c r="I13" i="1"/>
  <c r="J13" i="1" s="1"/>
  <c r="I14" i="1"/>
  <c r="J14" i="1" s="1"/>
  <c r="I12" i="1"/>
  <c r="J12" i="1" s="1"/>
  <c r="J17" i="1" l="1"/>
</calcChain>
</file>

<file path=xl/sharedStrings.xml><?xml version="1.0" encoding="utf-8"?>
<sst xmlns="http://schemas.openxmlformats.org/spreadsheetml/2006/main" count="72" uniqueCount="36">
  <si>
    <t>Quanto investir por mês ?</t>
  </si>
  <si>
    <t>Patrimônio acumulado ?</t>
  </si>
  <si>
    <t>Quanto em 2 anos ?</t>
  </si>
  <si>
    <t>Quanto em 5 anos ?</t>
  </si>
  <si>
    <t>Quanto em 10 anos ?</t>
  </si>
  <si>
    <t>Quanto em 20 anos ?</t>
  </si>
  <si>
    <t>Quanto em 30 anos ?</t>
  </si>
  <si>
    <t>Dividendos</t>
  </si>
  <si>
    <t>Rendimento da Carteira</t>
  </si>
  <si>
    <t>Salário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</si>
  <si>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</si>
  <si>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</si>
  <si>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</si>
  <si>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</si>
  <si>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</si>
  <si>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</si>
  <si>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</si>
  <si>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</si>
  <si>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</si>
  <si>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</si>
  <si>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</si>
  <si>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Conservador</t>
  </si>
  <si>
    <t>%</t>
  </si>
  <si>
    <t>CHAVE</t>
  </si>
  <si>
    <t>Moderado</t>
  </si>
  <si>
    <t>Agressivo</t>
  </si>
  <si>
    <t>Moderado-TIJOLO</t>
  </si>
  <si>
    <t>Sugestão de Investimento (30%)</t>
  </si>
  <si>
    <t>Taxa de rendimento mensal ?</t>
  </si>
  <si>
    <t>Por quantos anos ?</t>
  </si>
  <si>
    <t>Dividendos mensais ?</t>
  </si>
  <si>
    <t>Cenários e Previsões</t>
  </si>
  <si>
    <t>Investimento Mensal</t>
  </si>
  <si>
    <t>Configurações</t>
  </si>
  <si>
    <t>Tipo de FII</t>
  </si>
  <si>
    <t>Patrimônio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</si>
</sst>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6"/>
      <color rgb="FF0061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theme="0" tint="-0.34998626667073579"/>
      </left>
      <right style="medium">
        <color indexed="64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indexed="64"/>
      </right>
      <top style="medium">
        <color theme="0" tint="-0.34998626667073579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indexed="64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indexed="64"/>
      </left>
      <right/>
      <top style="medium">
        <color theme="0" tint="-0.34998626667073579"/>
      </top>
      <bottom style="thin">
        <color indexed="64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0" fontId="12" fillId="5" borderId="0" applyNumberFormat="0" applyBorder="0" applyAlignment="0" applyProtection="0"/>
    <xf numFmtId="0" fontId="15" fillId="8" borderId="0" applyNumberFormat="0" applyBorder="0" applyAlignment="0" applyProtection="0"/>
  </cellStyleXfs>
  <cellXfs count="60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164" fontId="9" fillId="3" borderId="4" xfId="0" applyNumberFormat="1" applyFont="1" applyFill="1" applyBorder="1" applyAlignment="1">
      <alignment horizontal="center"/>
    </xf>
    <xf numFmtId="164" fontId="9" fillId="3" borderId="6" xfId="0" applyNumberFormat="1" applyFont="1" applyFill="1" applyBorder="1" applyAlignment="1">
      <alignment horizontal="center"/>
    </xf>
    <xf numFmtId="164" fontId="9" fillId="3" borderId="9" xfId="0" applyNumberFormat="1" applyFont="1" applyFill="1" applyBorder="1" applyAlignment="1">
      <alignment horizontal="center"/>
    </xf>
    <xf numFmtId="164" fontId="9" fillId="3" borderId="8" xfId="0" applyNumberFormat="1" applyFont="1" applyFill="1" applyBorder="1" applyAlignment="1">
      <alignment horizontal="center"/>
    </xf>
    <xf numFmtId="0" fontId="8" fillId="3" borderId="5" xfId="0" applyFont="1" applyFill="1" applyBorder="1" applyAlignment="1">
      <alignment horizontal="left" indent="4"/>
    </xf>
    <xf numFmtId="0" fontId="8" fillId="3" borderId="7" xfId="0" applyFont="1" applyFill="1" applyBorder="1" applyAlignment="1">
      <alignment horizontal="left" indent="4"/>
    </xf>
    <xf numFmtId="164" fontId="10" fillId="0" borderId="14" xfId="0" applyNumberFormat="1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10" fontId="10" fillId="0" borderId="16" xfId="0" applyNumberFormat="1" applyFont="1" applyBorder="1" applyAlignment="1">
      <alignment horizontal="center"/>
    </xf>
    <xf numFmtId="8" fontId="10" fillId="3" borderId="16" xfId="0" applyNumberFormat="1" applyFont="1" applyFill="1" applyBorder="1" applyAlignment="1">
      <alignment horizontal="center"/>
    </xf>
    <xf numFmtId="8" fontId="10" fillId="3" borderId="18" xfId="0" applyNumberFormat="1" applyFont="1" applyFill="1" applyBorder="1" applyAlignment="1">
      <alignment horizontal="center"/>
    </xf>
    <xf numFmtId="164" fontId="9" fillId="0" borderId="19" xfId="1" applyNumberFormat="1" applyFont="1" applyBorder="1" applyAlignment="1">
      <alignment horizontal="center"/>
    </xf>
    <xf numFmtId="10" fontId="9" fillId="0" borderId="20" xfId="0" applyNumberFormat="1" applyFont="1" applyBorder="1" applyAlignment="1">
      <alignment horizontal="center"/>
    </xf>
    <xf numFmtId="164" fontId="9" fillId="3" borderId="21" xfId="0" applyNumberFormat="1" applyFont="1" applyFill="1" applyBorder="1" applyAlignment="1">
      <alignment horizontal="center"/>
    </xf>
    <xf numFmtId="0" fontId="12" fillId="5" borderId="0" xfId="2"/>
    <xf numFmtId="0" fontId="0" fillId="4" borderId="0" xfId="0" applyFill="1"/>
    <xf numFmtId="164" fontId="0" fillId="4" borderId="0" xfId="0" applyNumberFormat="1" applyFill="1" applyAlignment="1">
      <alignment horizontal="center"/>
    </xf>
    <xf numFmtId="0" fontId="13" fillId="4" borderId="0" xfId="0" applyFont="1" applyFill="1"/>
    <xf numFmtId="164" fontId="13" fillId="4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3" fillId="6" borderId="0" xfId="0" applyFont="1" applyFill="1"/>
    <xf numFmtId="164" fontId="13" fillId="6" borderId="0" xfId="0" applyNumberFormat="1" applyFont="1" applyFill="1"/>
    <xf numFmtId="0" fontId="13" fillId="6" borderId="0" xfId="0" applyFont="1" applyFill="1" applyAlignment="1">
      <alignment horizontal="center"/>
    </xf>
    <xf numFmtId="0" fontId="0" fillId="0" borderId="22" xfId="0" applyBorder="1"/>
    <xf numFmtId="0" fontId="0" fillId="0" borderId="22" xfId="0" applyBorder="1" applyAlignment="1">
      <alignment horizontal="center"/>
    </xf>
    <xf numFmtId="9" fontId="0" fillId="0" borderId="22" xfId="0" applyNumberFormat="1" applyBorder="1" applyAlignment="1">
      <alignment horizontal="center"/>
    </xf>
    <xf numFmtId="10" fontId="12" fillId="5" borderId="0" xfId="2" applyNumberFormat="1"/>
    <xf numFmtId="0" fontId="1" fillId="7" borderId="0" xfId="0" applyFont="1" applyFill="1"/>
    <xf numFmtId="0" fontId="1" fillId="7" borderId="0" xfId="0" applyFont="1" applyFill="1" applyAlignment="1">
      <alignment horizontal="center"/>
    </xf>
    <xf numFmtId="0" fontId="4" fillId="2" borderId="2" xfId="0" applyFont="1" applyFill="1" applyBorder="1" applyAlignment="1">
      <alignment vertical="center"/>
    </xf>
    <xf numFmtId="0" fontId="15" fillId="8" borderId="0" xfId="3"/>
    <xf numFmtId="0" fontId="6" fillId="2" borderId="1" xfId="0" applyFont="1" applyFill="1" applyBorder="1" applyAlignment="1">
      <alignment horizontal="center" vertical="center"/>
    </xf>
    <xf numFmtId="0" fontId="16" fillId="8" borderId="0" xfId="3" applyFont="1" applyAlignment="1">
      <alignment horizontal="center" vertical="center"/>
    </xf>
    <xf numFmtId="0" fontId="16" fillId="8" borderId="0" xfId="3" applyFont="1" applyAlignment="1">
      <alignment vertical="center"/>
    </xf>
    <xf numFmtId="0" fontId="8" fillId="4" borderId="23" xfId="0" applyFont="1" applyFill="1" applyBorder="1" applyAlignment="1">
      <alignment horizontal="left" indent="4"/>
    </xf>
    <xf numFmtId="0" fontId="9" fillId="4" borderId="24" xfId="0" applyFont="1" applyFill="1" applyBorder="1"/>
    <xf numFmtId="0" fontId="8" fillId="4" borderId="25" xfId="0" applyFont="1" applyFill="1" applyBorder="1" applyAlignment="1">
      <alignment horizontal="left" indent="4"/>
    </xf>
    <xf numFmtId="0" fontId="9" fillId="4" borderId="26" xfId="0" applyFont="1" applyFill="1" applyBorder="1"/>
    <xf numFmtId="0" fontId="8" fillId="4" borderId="27" xfId="0" applyFont="1" applyFill="1" applyBorder="1" applyAlignment="1">
      <alignment horizontal="left" indent="4"/>
    </xf>
    <xf numFmtId="0" fontId="9" fillId="4" borderId="28" xfId="0" applyFont="1" applyFill="1" applyBorder="1"/>
    <xf numFmtId="0" fontId="7" fillId="2" borderId="3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left" indent="4"/>
    </xf>
    <xf numFmtId="0" fontId="8" fillId="4" borderId="15" xfId="0" applyFont="1" applyFill="1" applyBorder="1" applyAlignment="1">
      <alignment horizontal="left" indent="4"/>
    </xf>
    <xf numFmtId="0" fontId="11" fillId="3" borderId="11" xfId="0" applyFont="1" applyFill="1" applyBorder="1" applyAlignment="1">
      <alignment horizontal="left" indent="4"/>
    </xf>
    <xf numFmtId="0" fontId="11" fillId="3" borderId="15" xfId="0" applyFont="1" applyFill="1" applyBorder="1" applyAlignment="1">
      <alignment horizontal="left" indent="4"/>
    </xf>
    <xf numFmtId="0" fontId="11" fillId="3" borderId="12" xfId="0" applyFont="1" applyFill="1" applyBorder="1" applyAlignment="1">
      <alignment horizontal="left" indent="4"/>
    </xf>
    <xf numFmtId="0" fontId="11" fillId="3" borderId="17" xfId="0" applyFont="1" applyFill="1" applyBorder="1" applyAlignment="1">
      <alignment horizontal="left" indent="4"/>
    </xf>
    <xf numFmtId="0" fontId="14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left" indent="4"/>
    </xf>
    <xf numFmtId="0" fontId="8" fillId="4" borderId="13" xfId="0" applyFont="1" applyFill="1" applyBorder="1" applyAlignment="1">
      <alignment horizontal="left" indent="4"/>
    </xf>
  </cellXfs>
  <cellStyles count="4">
    <cellStyle name="Bom" xfId="3" builtinId="26"/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Controle!$I$10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36-45AE-8551-F5B91156EE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36-45AE-8551-F5B91156EED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A36-45AE-8551-F5B91156EED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A36-45AE-8551-F5B91156EED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A36-45AE-8551-F5B91156EED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A36-45AE-8551-F5B91156EE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Controle!$H$11:$H$16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Controle!$I$11:$I$16</c:f>
              <c:numCache>
                <c:formatCode>0%</c:formatCode>
                <c:ptCount val="6"/>
                <c:pt idx="0">
                  <c:v>0.35</c:v>
                </c:pt>
                <c:pt idx="1">
                  <c:v>0.55000000000000004</c:v>
                </c:pt>
                <c:pt idx="2">
                  <c:v>0.05</c:v>
                </c:pt>
                <c:pt idx="3">
                  <c:v>0.05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B7-4A69-894F-0F4463A16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3261360</xdr:colOff>
      <xdr:row>1</xdr:row>
      <xdr:rowOff>76200</xdr:rowOff>
    </xdr:from>
    <xdr:to>
      <xdr:col>8</xdr:col>
      <xdr:colOff>670560</xdr:colOff>
      <xdr:row>3</xdr:row>
      <xdr:rowOff>373380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43DF0A80-5138-1DFD-1096-CB5A9DEE7CF0}"/>
            </a:ext>
          </a:extLst>
        </xdr:cNvPr>
        <xdr:cNvSpPr/>
      </xdr:nvSpPr>
      <xdr:spPr>
        <a:xfrm>
          <a:off x="3680460" y="259080"/>
          <a:ext cx="5913120" cy="662940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Controle de Investimentos</a:t>
          </a:r>
        </a:p>
      </xdr:txBody>
    </xdr:sp>
    <xdr:clientData/>
  </xdr:twoCellAnchor>
  <xdr:twoCellAnchor>
    <xdr:from>
      <xdr:col>6</xdr:col>
      <xdr:colOff>228600</xdr:colOff>
      <xdr:row>17</xdr:row>
      <xdr:rowOff>140970</xdr:rowOff>
    </xdr:from>
    <xdr:to>
      <xdr:col>10</xdr:col>
      <xdr:colOff>121920</xdr:colOff>
      <xdr:row>25</xdr:row>
      <xdr:rowOff>91440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A425334-7CFD-1C72-EBB9-2F98AC5BD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E39C2-DBDA-4615-9E3B-19CB3D01B9FE}">
  <dimension ref="A4:L25"/>
  <sheetViews>
    <sheetView showGridLines="0" showRowColHeaders="0" tabSelected="1" zoomScaleNormal="100" workbookViewId="0">
      <selection activeCell="L9" sqref="L9"/>
    </sheetView>
  </sheetViews>
  <sheetFormatPr defaultColWidth="0" defaultRowHeight="14.4" x14ac:dyDescent="0.3"/>
  <cols>
    <col min="1" max="1" width="6.109375" customWidth="1"/>
    <col min="2" max="2" width="52.6640625" customWidth="1"/>
    <col min="3" max="3" width="17.33203125" bestFit="1" customWidth="1"/>
    <col min="4" max="4" width="15.33203125" customWidth="1"/>
    <col min="5" max="5" width="3.77734375" customWidth="1"/>
    <col min="6" max="6" width="2.5546875" customWidth="1"/>
    <col min="7" max="7" width="3.5546875" customWidth="1"/>
    <col min="8" max="8" width="28.77734375" customWidth="1"/>
    <col min="9" max="9" width="23.88671875" customWidth="1"/>
    <col min="10" max="10" width="22.88671875" customWidth="1"/>
    <col min="11" max="12" width="6.109375" customWidth="1"/>
    <col min="13" max="16384" width="6.109375" hidden="1"/>
  </cols>
  <sheetData>
    <row r="4" spans="2:10" ht="31.2" customHeight="1" x14ac:dyDescent="0.3">
      <c r="B4" s="52"/>
      <c r="C4" s="53"/>
      <c r="D4" s="53"/>
    </row>
    <row r="5" spans="2:10" ht="0.6" customHeight="1" x14ac:dyDescent="0.3"/>
    <row r="6" spans="2:10" ht="15" thickBot="1" x14ac:dyDescent="0.35"/>
    <row r="7" spans="2:10" ht="27" x14ac:dyDescent="0.3">
      <c r="B7" s="54" t="s">
        <v>33</v>
      </c>
      <c r="C7" s="55"/>
      <c r="D7" s="34"/>
      <c r="H7" s="38" t="s">
        <v>11</v>
      </c>
      <c r="I7" s="37" t="s">
        <v>21</v>
      </c>
      <c r="J7" s="35"/>
    </row>
    <row r="8" spans="2:10" ht="19.8" thickBot="1" x14ac:dyDescent="0.5">
      <c r="B8" s="39" t="s">
        <v>9</v>
      </c>
      <c r="C8" s="40"/>
      <c r="D8" s="15">
        <v>2000</v>
      </c>
      <c r="H8" s="21" t="s">
        <v>10</v>
      </c>
      <c r="I8" s="22">
        <f>aporte</f>
        <v>150</v>
      </c>
      <c r="J8" s="19"/>
    </row>
    <row r="9" spans="2:10" ht="19.8" thickBot="1" x14ac:dyDescent="0.5">
      <c r="B9" s="41" t="s">
        <v>8</v>
      </c>
      <c r="C9" s="42"/>
      <c r="D9" s="16">
        <v>7.0000000000000001E-3</v>
      </c>
    </row>
    <row r="10" spans="2:10" ht="19.8" thickBot="1" x14ac:dyDescent="0.5">
      <c r="B10" s="43" t="s">
        <v>27</v>
      </c>
      <c r="C10" s="44"/>
      <c r="D10" s="17">
        <f>D8*30%</f>
        <v>600</v>
      </c>
      <c r="H10" s="27" t="s">
        <v>34</v>
      </c>
      <c r="I10" s="27" t="s">
        <v>13</v>
      </c>
      <c r="J10" s="27" t="s">
        <v>14</v>
      </c>
    </row>
    <row r="11" spans="2:10" ht="21" customHeight="1" thickBot="1" x14ac:dyDescent="0.35">
      <c r="H11" s="23" t="s">
        <v>15</v>
      </c>
      <c r="I11" s="24">
        <f>VLOOKUP($I$7&amp;"-"&amp;H11,Planilha2!$A:$D,4,FALSE)</f>
        <v>0.35</v>
      </c>
      <c r="J11" s="20">
        <f t="shared" ref="J11:J16" si="0">I11*$I$8</f>
        <v>52.5</v>
      </c>
    </row>
    <row r="12" spans="2:10" ht="21" customHeight="1" x14ac:dyDescent="0.3">
      <c r="B12" s="56" t="s">
        <v>32</v>
      </c>
      <c r="C12" s="57"/>
      <c r="D12" s="2"/>
      <c r="H12" s="23" t="s">
        <v>16</v>
      </c>
      <c r="I12" s="24">
        <f>VLOOKUP($I$7&amp;"-"&amp;H12,Planilha2!$A:$D,4,FALSE)</f>
        <v>0.55000000000000004</v>
      </c>
      <c r="J12" s="20">
        <f t="shared" si="0"/>
        <v>82.5</v>
      </c>
    </row>
    <row r="13" spans="2:10" ht="19.2" x14ac:dyDescent="0.45">
      <c r="B13" s="58" t="s">
        <v>0</v>
      </c>
      <c r="C13" s="59"/>
      <c r="D13" s="10">
        <v>150</v>
      </c>
      <c r="H13" s="23" t="s">
        <v>17</v>
      </c>
      <c r="I13" s="24">
        <f>VLOOKUP($I$7&amp;"-"&amp;H13,Planilha2!$A:$D,4,FALSE)</f>
        <v>0.05</v>
      </c>
      <c r="J13" s="20">
        <f>I13*$I$8</f>
        <v>7.5</v>
      </c>
    </row>
    <row r="14" spans="2:10" ht="19.2" x14ac:dyDescent="0.45">
      <c r="B14" s="46" t="s">
        <v>29</v>
      </c>
      <c r="C14" s="47"/>
      <c r="D14" s="11">
        <v>4</v>
      </c>
      <c r="H14" s="23" t="s">
        <v>18</v>
      </c>
      <c r="I14" s="24">
        <f>VLOOKUP($I$7&amp;"-"&amp;H14,Planilha2!$A:$D,4,FALSE)</f>
        <v>0.05</v>
      </c>
      <c r="J14" s="20">
        <f t="shared" si="0"/>
        <v>7.5</v>
      </c>
    </row>
    <row r="15" spans="2:10" ht="19.2" x14ac:dyDescent="0.45">
      <c r="B15" s="46" t="s">
        <v>28</v>
      </c>
      <c r="C15" s="47"/>
      <c r="D15" s="12">
        <v>1.0789999999999999E-2</v>
      </c>
      <c r="H15" s="23" t="s">
        <v>19</v>
      </c>
      <c r="I15" s="24">
        <f>VLOOKUP($I$7&amp;"-"&amp;H15,Planilha2!$A:$D,4,FALSE)</f>
        <v>0</v>
      </c>
      <c r="J15" s="20">
        <f t="shared" si="0"/>
        <v>0</v>
      </c>
    </row>
    <row r="16" spans="2:10" ht="19.2" x14ac:dyDescent="0.45">
      <c r="B16" s="48" t="s">
        <v>1</v>
      </c>
      <c r="C16" s="49"/>
      <c r="D16" s="13">
        <f>FV(taxa_mensal,qtd_anos*12,aporte*-1)</f>
        <v>9368.1529487415228</v>
      </c>
      <c r="H16" s="23" t="s">
        <v>20</v>
      </c>
      <c r="I16" s="24">
        <f>VLOOKUP($I$7&amp;"-"&amp;H16,Planilha2!$A:$D,4,FALSE)</f>
        <v>0</v>
      </c>
      <c r="J16" s="20">
        <f t="shared" si="0"/>
        <v>0</v>
      </c>
    </row>
    <row r="17" spans="1:10" ht="19.8" thickBot="1" x14ac:dyDescent="0.5">
      <c r="B17" s="50" t="s">
        <v>30</v>
      </c>
      <c r="C17" s="51"/>
      <c r="D17" s="14">
        <f>patrimonio*Rendimento_Carteira</f>
        <v>65.577070641190659</v>
      </c>
      <c r="H17" s="25"/>
      <c r="I17" s="25"/>
      <c r="J17" s="26">
        <f>SUM(J11:J16)</f>
        <v>150</v>
      </c>
    </row>
    <row r="19" spans="1:10" ht="15" thickBot="1" x14ac:dyDescent="0.35"/>
    <row r="20" spans="1:10" ht="29.4" x14ac:dyDescent="0.3">
      <c r="A20" s="1">
        <v>2</v>
      </c>
      <c r="B20" s="36" t="s">
        <v>31</v>
      </c>
      <c r="C20" s="45" t="s">
        <v>35</v>
      </c>
      <c r="D20" s="3" t="s">
        <v>7</v>
      </c>
    </row>
    <row r="21" spans="1:10" ht="19.2" x14ac:dyDescent="0.45">
      <c r="A21" s="1">
        <v>5</v>
      </c>
      <c r="B21" s="8" t="s">
        <v>2</v>
      </c>
      <c r="C21" s="4">
        <f>FV($D$15,$A20*12,$D$13*-1)</f>
        <v>4084.1440946467824</v>
      </c>
      <c r="D21" s="5">
        <f>C21*Rendimento_Carteira</f>
        <v>28.589008662527476</v>
      </c>
    </row>
    <row r="22" spans="1:10" ht="19.2" x14ac:dyDescent="0.45">
      <c r="A22" s="1">
        <v>10</v>
      </c>
      <c r="B22" s="8" t="s">
        <v>3</v>
      </c>
      <c r="C22" s="4">
        <f>FV($D$15,$A21*12,$D$13*-1)</f>
        <v>12566.537099773146</v>
      </c>
      <c r="D22" s="5">
        <f>C22*Rendimento_Carteira</f>
        <v>87.965759698412029</v>
      </c>
    </row>
    <row r="23" spans="1:10" ht="19.2" x14ac:dyDescent="0.45">
      <c r="A23" s="1">
        <v>20</v>
      </c>
      <c r="B23" s="8" t="s">
        <v>4</v>
      </c>
      <c r="C23" s="4">
        <f>FV($D$15,$A22*12,$D$13*-1)</f>
        <v>36492.631879525827</v>
      </c>
      <c r="D23" s="5">
        <f>C23*Rendimento_Carteira</f>
        <v>255.4484231566808</v>
      </c>
    </row>
    <row r="24" spans="1:10" ht="19.2" x14ac:dyDescent="0.45">
      <c r="A24" s="1">
        <v>30</v>
      </c>
      <c r="B24" s="8" t="s">
        <v>5</v>
      </c>
      <c r="C24" s="4">
        <f>FV($D$15,$A23*12,$D$13*-1)</f>
        <v>168779.76001456208</v>
      </c>
      <c r="D24" s="5">
        <f>C24*Rendimento_Carteira</f>
        <v>1181.4583201019345</v>
      </c>
    </row>
    <row r="25" spans="1:10" ht="19.8" thickBot="1" x14ac:dyDescent="0.5">
      <c r="B25" s="9" t="s">
        <v>6</v>
      </c>
      <c r="C25" s="6">
        <f>FV($D$15,$A24*12,$D$13*-1)</f>
        <v>648325.44825070712</v>
      </c>
      <c r="D25" s="7">
        <f>C25*Rendimento_Carteira</f>
        <v>4538.27813775495</v>
      </c>
    </row>
  </sheetData>
  <mergeCells count="8">
    <mergeCell ref="B15:C15"/>
    <mergeCell ref="B16:C16"/>
    <mergeCell ref="B17:C17"/>
    <mergeCell ref="B4:D4"/>
    <mergeCell ref="B7:C7"/>
    <mergeCell ref="B12:C12"/>
    <mergeCell ref="B13:C13"/>
    <mergeCell ref="B14:C14"/>
  </mergeCells>
  <dataValidations count="1">
    <dataValidation type="list" allowBlank="1" showInputMessage="1" showErrorMessage="1" sqref="I7" xr:uid="{184FF416-2A35-4E0E-ACF9-CF539E27FE3D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1EA50-2AA8-4EC0-B733-E20E81D9740D}">
  <dimension ref="A2:H20"/>
  <sheetViews>
    <sheetView workbookViewId="0">
      <selection activeCell="I12" sqref="I12"/>
    </sheetView>
  </sheetViews>
  <sheetFormatPr defaultRowHeight="14.4" x14ac:dyDescent="0.3"/>
  <cols>
    <col min="1" max="1" width="28.77734375" bestFit="1" customWidth="1"/>
    <col min="2" max="2" width="11.21875" bestFit="1" customWidth="1"/>
    <col min="3" max="3" width="17.6640625" bestFit="1" customWidth="1"/>
    <col min="7" max="7" width="15.44140625" bestFit="1" customWidth="1"/>
  </cols>
  <sheetData>
    <row r="2" spans="1:8" x14ac:dyDescent="0.3">
      <c r="A2" s="32" t="s">
        <v>23</v>
      </c>
      <c r="B2" s="32" t="s">
        <v>11</v>
      </c>
      <c r="C2" s="33" t="s">
        <v>12</v>
      </c>
      <c r="D2" s="33" t="s">
        <v>22</v>
      </c>
    </row>
    <row r="3" spans="1:8" x14ac:dyDescent="0.3">
      <c r="A3" t="str">
        <f>B3&amp;"-"&amp;C3</f>
        <v>Conservador-PAPEL</v>
      </c>
      <c r="B3" t="s">
        <v>21</v>
      </c>
      <c r="C3" s="23" t="s">
        <v>15</v>
      </c>
      <c r="D3" s="24">
        <v>0.35</v>
      </c>
      <c r="H3" s="23" t="s">
        <v>22</v>
      </c>
    </row>
    <row r="4" spans="1:8" x14ac:dyDescent="0.3">
      <c r="A4" t="str">
        <f t="shared" ref="A4:A20" si="0">B4&amp;"-"&amp;C4</f>
        <v>Conservador-TIJOLO</v>
      </c>
      <c r="B4" t="s">
        <v>21</v>
      </c>
      <c r="C4" s="23" t="s">
        <v>16</v>
      </c>
      <c r="D4" s="24">
        <v>0.55000000000000004</v>
      </c>
      <c r="G4" s="18" t="s">
        <v>26</v>
      </c>
      <c r="H4" s="31">
        <f>VLOOKUP(G4,$A:$D,4,FALSE)</f>
        <v>0.37</v>
      </c>
    </row>
    <row r="5" spans="1:8" x14ac:dyDescent="0.3">
      <c r="A5" t="str">
        <f t="shared" si="0"/>
        <v>Conservador-HÍBRIDOS</v>
      </c>
      <c r="B5" t="s">
        <v>21</v>
      </c>
      <c r="C5" s="23" t="s">
        <v>17</v>
      </c>
      <c r="D5" s="24">
        <v>0.05</v>
      </c>
    </row>
    <row r="6" spans="1:8" x14ac:dyDescent="0.3">
      <c r="A6" t="str">
        <f t="shared" si="0"/>
        <v>Conservador-FOFs</v>
      </c>
      <c r="B6" t="s">
        <v>21</v>
      </c>
      <c r="C6" s="23" t="s">
        <v>18</v>
      </c>
      <c r="D6" s="24">
        <v>0.05</v>
      </c>
    </row>
    <row r="7" spans="1:8" x14ac:dyDescent="0.3">
      <c r="A7" t="str">
        <f t="shared" si="0"/>
        <v>Conservador-DESENVOLVIMENTO</v>
      </c>
      <c r="B7" t="s">
        <v>21</v>
      </c>
      <c r="C7" s="23" t="s">
        <v>19</v>
      </c>
      <c r="D7" s="24">
        <v>0</v>
      </c>
    </row>
    <row r="8" spans="1:8" x14ac:dyDescent="0.3">
      <c r="A8" s="28" t="str">
        <f t="shared" si="0"/>
        <v>Conservador-HOTELARIAS</v>
      </c>
      <c r="B8" s="28" t="s">
        <v>21</v>
      </c>
      <c r="C8" s="29" t="s">
        <v>20</v>
      </c>
      <c r="D8" s="30">
        <v>0</v>
      </c>
    </row>
    <row r="9" spans="1:8" x14ac:dyDescent="0.3">
      <c r="A9" t="str">
        <f t="shared" si="0"/>
        <v>Moderado-PAPEL</v>
      </c>
      <c r="B9" t="s">
        <v>24</v>
      </c>
      <c r="C9" s="23" t="s">
        <v>15</v>
      </c>
      <c r="D9" s="24">
        <v>0.3</v>
      </c>
    </row>
    <row r="10" spans="1:8" x14ac:dyDescent="0.3">
      <c r="A10" t="str">
        <f t="shared" si="0"/>
        <v>Moderado-TIJOLO</v>
      </c>
      <c r="B10" t="s">
        <v>24</v>
      </c>
      <c r="C10" s="23" t="s">
        <v>16</v>
      </c>
      <c r="D10" s="24">
        <v>0.37</v>
      </c>
    </row>
    <row r="11" spans="1:8" x14ac:dyDescent="0.3">
      <c r="A11" t="str">
        <f t="shared" si="0"/>
        <v>Moderado-HÍBRIDOS</v>
      </c>
      <c r="B11" t="s">
        <v>24</v>
      </c>
      <c r="C11" s="23" t="s">
        <v>17</v>
      </c>
      <c r="D11" s="24">
        <v>0.1</v>
      </c>
    </row>
    <row r="12" spans="1:8" x14ac:dyDescent="0.3">
      <c r="A12" t="str">
        <f t="shared" si="0"/>
        <v>Moderado-FOFs</v>
      </c>
      <c r="B12" t="s">
        <v>24</v>
      </c>
      <c r="C12" s="23" t="s">
        <v>18</v>
      </c>
      <c r="D12" s="24">
        <v>7.0000000000000007E-2</v>
      </c>
    </row>
    <row r="13" spans="1:8" x14ac:dyDescent="0.3">
      <c r="A13" t="str">
        <f t="shared" si="0"/>
        <v>Moderado-DESENVOLVIMENTO</v>
      </c>
      <c r="B13" t="s">
        <v>24</v>
      </c>
      <c r="C13" s="23" t="s">
        <v>19</v>
      </c>
      <c r="D13" s="24">
        <v>0.08</v>
      </c>
    </row>
    <row r="14" spans="1:8" x14ac:dyDescent="0.3">
      <c r="A14" s="28" t="str">
        <f t="shared" si="0"/>
        <v>Moderado-HOTELARIAS</v>
      </c>
      <c r="B14" s="28" t="s">
        <v>24</v>
      </c>
      <c r="C14" s="29" t="s">
        <v>20</v>
      </c>
      <c r="D14" s="30">
        <v>0.08</v>
      </c>
    </row>
    <row r="15" spans="1:8" x14ac:dyDescent="0.3">
      <c r="A15" t="str">
        <f t="shared" si="0"/>
        <v>Agressivo-PAPEL</v>
      </c>
      <c r="B15" t="s">
        <v>25</v>
      </c>
      <c r="C15" s="23" t="s">
        <v>15</v>
      </c>
      <c r="D15" s="24">
        <v>0.25</v>
      </c>
    </row>
    <row r="16" spans="1:8" x14ac:dyDescent="0.3">
      <c r="A16" t="str">
        <f t="shared" si="0"/>
        <v>Agressivo-TIJOLO</v>
      </c>
      <c r="B16" t="s">
        <v>25</v>
      </c>
      <c r="C16" s="23" t="s">
        <v>16</v>
      </c>
      <c r="D16" s="24">
        <v>0.3</v>
      </c>
    </row>
    <row r="17" spans="1:4" x14ac:dyDescent="0.3">
      <c r="A17" t="str">
        <f t="shared" si="0"/>
        <v>Agressivo-HÍBRIDOS</v>
      </c>
      <c r="B17" t="s">
        <v>25</v>
      </c>
      <c r="C17" s="23" t="s">
        <v>17</v>
      </c>
      <c r="D17" s="24">
        <v>0.15</v>
      </c>
    </row>
    <row r="18" spans="1:4" x14ac:dyDescent="0.3">
      <c r="A18" t="str">
        <f t="shared" si="0"/>
        <v>Agressivo-FOFs</v>
      </c>
      <c r="B18" t="s">
        <v>25</v>
      </c>
      <c r="C18" s="23" t="s">
        <v>18</v>
      </c>
      <c r="D18" s="24">
        <v>0.05</v>
      </c>
    </row>
    <row r="19" spans="1:4" x14ac:dyDescent="0.3">
      <c r="A19" t="str">
        <f t="shared" si="0"/>
        <v>Agressivo-DESENVOLVIMENTO</v>
      </c>
      <c r="B19" t="s">
        <v>25</v>
      </c>
      <c r="C19" s="23" t="s">
        <v>19</v>
      </c>
      <c r="D19" s="24">
        <v>0.15</v>
      </c>
    </row>
    <row r="20" spans="1:4" x14ac:dyDescent="0.3">
      <c r="A20" t="str">
        <f t="shared" si="0"/>
        <v>Agressivo-HOTELARIAS</v>
      </c>
      <c r="B20" t="s">
        <v>25</v>
      </c>
      <c r="C20" s="23" t="s">
        <v>20</v>
      </c>
      <c r="D20" s="2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Controle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Gomes</dc:creator>
  <cp:lastModifiedBy>Ramon Gomes</cp:lastModifiedBy>
  <dcterms:created xsi:type="dcterms:W3CDTF">2026-09-05T22:51:11Z</dcterms:created>
  <dcterms:modified xsi:type="dcterms:W3CDTF">2026-10-09T21:59:38Z</dcterms:modified>
</cp:coreProperties>
</file>